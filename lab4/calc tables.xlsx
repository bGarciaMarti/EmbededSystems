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enny\OneDrive - University of Colorado Colorado Springs\Desktop\Embeded Systems ECE 4330\ECE4330\Git\lab4\"/>
    </mc:Choice>
  </mc:AlternateContent>
  <xr:revisionPtr revIDLastSave="0" documentId="13_ncr:1_{86D0AF92-7D03-45A6-9E9E-2870F8605D76}" xr6:coauthVersionLast="47" xr6:coauthVersionMax="47" xr10:uidLastSave="{00000000-0000-0000-0000-000000000000}"/>
  <bookViews>
    <workbookView xWindow="14295" yWindow="0" windowWidth="14610" windowHeight="15585" activeTab="1" xr2:uid="{D13CC4F4-9552-4CFD-8322-044B84F2C98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G4" i="2"/>
  <c r="F4" i="2"/>
  <c r="C6" i="1"/>
  <c r="D6" i="1"/>
  <c r="D7" i="1"/>
  <c r="C7" i="1" s="1"/>
  <c r="D8" i="1"/>
  <c r="C8" i="1" s="1"/>
  <c r="D9" i="1"/>
  <c r="C9" i="1" s="1"/>
  <c r="C10" i="1"/>
  <c r="D10" i="1"/>
  <c r="D11" i="1"/>
  <c r="C11" i="1" s="1"/>
  <c r="D12" i="1"/>
  <c r="C12" i="1" s="1"/>
  <c r="D13" i="1"/>
  <c r="C13" i="1" s="1"/>
  <c r="D14" i="1"/>
  <c r="C14" i="1" s="1"/>
  <c r="D5" i="1"/>
  <c r="C5" i="1" s="1"/>
  <c r="D4" i="1"/>
  <c r="C4" i="1" s="1"/>
  <c r="D3" i="1"/>
  <c r="C3" i="1" s="1"/>
  <c r="D2" i="1"/>
  <c r="C2" i="1"/>
</calcChain>
</file>

<file path=xl/sharedStrings.xml><?xml version="1.0" encoding="utf-8"?>
<sst xmlns="http://schemas.openxmlformats.org/spreadsheetml/2006/main" count="11" uniqueCount="11">
  <si>
    <t>R1,q</t>
  </si>
  <si>
    <t>R2,r</t>
  </si>
  <si>
    <t>R3,s</t>
  </si>
  <si>
    <t>Binary</t>
  </si>
  <si>
    <t>Theoretical</t>
  </si>
  <si>
    <t>Actual</t>
  </si>
  <si>
    <t>R1</t>
  </si>
  <si>
    <t>R2</t>
  </si>
  <si>
    <t>R3</t>
  </si>
  <si>
    <t>YELLOW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</si>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</sst>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Theoretical vs Actual DAC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Theoretical</c:v>
                </c:pt>
              </c:strCache>
            </c:strRef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Sheet2!$A$2:$A$5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Sheet2!$B$2:$B$5</c:f>
              <c:numCache>
                <c:formatCode>General</c:formatCode>
                <c:ptCount val="4"/>
                <c:pt idx="0">
                  <c:v>0</c:v>
                </c:pt>
                <c:pt idx="1">
                  <c:v>0.79</c:v>
                </c:pt>
                <c:pt idx="2">
                  <c:v>1.84</c:v>
                </c:pt>
                <c:pt idx="3">
                  <c:v>2.64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2-46D9-8352-96A8D74CA5C4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Actual</c:v>
                </c:pt>
              </c:strCache>
            </c:strRef>
          </c:tx>
          <c:spPr>
            <a:ln w="952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Sheet2!$A$2:$A$5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Sheet2!$C$2:$C$5</c:f>
              <c:numCache>
                <c:formatCode>General</c:formatCode>
                <c:ptCount val="4"/>
                <c:pt idx="0">
                  <c:v>0</c:v>
                </c:pt>
                <c:pt idx="1">
                  <c:v>0.78</c:v>
                </c:pt>
                <c:pt idx="2">
                  <c:v>1.72</c:v>
                </c:pt>
                <c:pt idx="3">
                  <c:v>2.56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C2-46D9-8352-96A8D74CA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738592"/>
        <c:axId val="1369739072"/>
      </c:scatterChart>
      <c:valAx>
        <c:axId val="136973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Binary Output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39072"/>
        <c:crosses val="autoZero"/>
        <c:crossBetween val="midCat"/>
      </c:valAx>
      <c:valAx>
        <c:axId val="136973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DAC Output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38592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619125</xdr:colOff>
      <xdr:row>8</xdr:row>
      <xdr:rowOff>9525</xdr:rowOff>
    </xdr:from>
    <xdr:to>
      <xdr:col>7</xdr:col>
      <xdr:colOff>390525</xdr:colOff>
      <xdr:row>23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32C387-6696-9567-DB68-D2174168E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ECBC-36E1-43FB-8616-C63E95A28D33}">
  <dimension ref="B1:D14"/>
  <sheetViews>
    <sheetView workbookViewId="0">
      <selection activeCell="G6" sqref="G6"/>
    </sheetView>
  </sheetViews>
  <sheetFormatPr defaultRowHeight="14.25"/>
  <sheetData>
    <row r="1" spans="2:4">
      <c r="B1" s="1" t="s">
        <v>0</v>
      </c>
      <c r="C1" s="2" t="s">
        <v>1</v>
      </c>
      <c r="D1" s="2" t="s">
        <v>2</v>
      </c>
    </row>
    <row r="2" spans="2:4">
      <c r="B2" s="1">
        <v>1000</v>
      </c>
      <c r="C2" s="3">
        <f>(10*(B2*D2))/D2+B2</f>
        <v>11000</v>
      </c>
      <c r="D2" s="2">
        <f>(23000/7)</f>
        <v>3285.7142857142858</v>
      </c>
    </row>
    <row r="3" spans="2:4">
      <c r="B3" s="1">
        <v>2000</v>
      </c>
      <c r="C3" s="2">
        <f>(10*(B3*D3))/D3+B3</f>
        <v>22000</v>
      </c>
      <c r="D3" s="3">
        <f>(23*B3)/7</f>
        <v>6571.4285714285716</v>
      </c>
    </row>
    <row r="4" spans="2:4">
      <c r="B4" s="1">
        <v>3000</v>
      </c>
      <c r="C4" s="2">
        <f>(10*(B4*D4))/D4+B4</f>
        <v>33000</v>
      </c>
      <c r="D4" s="2">
        <f>(23*B4)/7</f>
        <v>9857.1428571428569</v>
      </c>
    </row>
    <row r="5" spans="2:4">
      <c r="B5" s="1">
        <v>4000</v>
      </c>
      <c r="C5" s="2">
        <f>(10*(B5*D5))/D5+B5</f>
        <v>44000</v>
      </c>
      <c r="D5" s="2">
        <f>(23*B5)/7</f>
        <v>13142.857142857143</v>
      </c>
    </row>
    <row r="6" spans="2:4">
      <c r="B6" s="1">
        <v>5000</v>
      </c>
      <c r="C6" s="2">
        <f t="shared" ref="C6:C14" si="0">(10*(B6*D6))/D6+B6</f>
        <v>55000</v>
      </c>
      <c r="D6" s="2">
        <f t="shared" ref="D6:D14" si="1">(23*B6)/7</f>
        <v>16428.571428571428</v>
      </c>
    </row>
    <row r="7" spans="2:4">
      <c r="B7" s="1">
        <v>6000</v>
      </c>
      <c r="C7" s="2">
        <f t="shared" si="0"/>
        <v>66000</v>
      </c>
      <c r="D7" s="2">
        <f t="shared" si="1"/>
        <v>19714.285714285714</v>
      </c>
    </row>
    <row r="8" spans="2:4">
      <c r="B8" s="1">
        <v>7000</v>
      </c>
      <c r="C8" s="2">
        <f t="shared" si="0"/>
        <v>77000</v>
      </c>
      <c r="D8" s="2">
        <f t="shared" si="1"/>
        <v>23000</v>
      </c>
    </row>
    <row r="9" spans="2:4">
      <c r="B9" s="1">
        <v>8000</v>
      </c>
      <c r="C9" s="2">
        <f t="shared" si="0"/>
        <v>88000</v>
      </c>
      <c r="D9" s="2">
        <f t="shared" si="1"/>
        <v>26285.714285714286</v>
      </c>
    </row>
    <row r="10" spans="2:4">
      <c r="B10" s="1">
        <v>9000</v>
      </c>
      <c r="C10" s="2">
        <f t="shared" si="0"/>
        <v>99000</v>
      </c>
      <c r="D10" s="2">
        <f t="shared" si="1"/>
        <v>29571.428571428572</v>
      </c>
    </row>
    <row r="11" spans="2:4">
      <c r="B11" s="1">
        <v>10000</v>
      </c>
      <c r="C11" s="2">
        <f t="shared" si="0"/>
        <v>110000</v>
      </c>
      <c r="D11" s="2">
        <f t="shared" si="1"/>
        <v>32857.142857142855</v>
      </c>
    </row>
    <row r="12" spans="2:4">
      <c r="B12" s="1">
        <v>11000</v>
      </c>
      <c r="C12" s="2">
        <f t="shared" si="0"/>
        <v>121000</v>
      </c>
      <c r="D12" s="2">
        <f t="shared" si="1"/>
        <v>36142.857142857145</v>
      </c>
    </row>
    <row r="13" spans="2:4">
      <c r="B13" s="1">
        <v>12000</v>
      </c>
      <c r="C13" s="2">
        <f t="shared" si="0"/>
        <v>132000</v>
      </c>
      <c r="D13" s="2">
        <f t="shared" si="1"/>
        <v>39428.571428571428</v>
      </c>
    </row>
    <row r="14" spans="2:4">
      <c r="B14" s="1">
        <v>13000</v>
      </c>
      <c r="C14" s="2">
        <f t="shared" si="0"/>
        <v>143000</v>
      </c>
      <c r="D14" s="2">
        <f t="shared" si="1"/>
        <v>42714.285714285717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7545-DE63-4675-AABF-8D1FA2850BDF}">
  <dimension ref="A1:G7"/>
  <sheetViews>
    <sheetView tabSelected="1" workbookViewId="0">
      <selection activeCell="C5" sqref="A1:C5"/>
    </sheetView>
  </sheetViews>
  <sheetFormatPr defaultRowHeight="14.25"/>
  <sheetData>
    <row r="1" spans="1:7">
      <c r="A1" s="4" t="s">
        <v>3</v>
      </c>
      <c r="B1" s="4" t="s">
        <v>4</v>
      </c>
      <c r="C1" s="4" t="s">
        <v>5</v>
      </c>
    </row>
    <row r="2" spans="1:7">
      <c r="A2" s="2">
        <v>0</v>
      </c>
      <c r="B2" s="2">
        <v>0</v>
      </c>
      <c r="C2" s="2">
        <v>0</v>
      </c>
      <c r="D2" s="5"/>
      <c r="F2" t="s">
        <v>10</v>
      </c>
      <c r="G2" t="s">
        <v>9</v>
      </c>
    </row>
    <row r="3" spans="1:7">
      <c r="A3" s="2">
        <v>1</v>
      </c>
      <c r="B3" s="2">
        <v>0.79</v>
      </c>
      <c r="C3" s="2">
        <v>0.78</v>
      </c>
      <c r="D3" s="5"/>
      <c r="E3" s="2" t="s">
        <v>6</v>
      </c>
      <c r="F3" s="2" t="s">
        <v>7</v>
      </c>
      <c r="G3" s="2" t="s">
        <v>8</v>
      </c>
    </row>
    <row r="4" spans="1:7">
      <c r="A4" s="2">
        <v>2</v>
      </c>
      <c r="B4" s="2">
        <v>1.84</v>
      </c>
      <c r="C4" s="2">
        <v>1.72</v>
      </c>
      <c r="D4" s="5"/>
      <c r="E4" s="2">
        <f>(0.987*1000)</f>
        <v>987</v>
      </c>
      <c r="F4" s="2">
        <f>(0.831*10^3)</f>
        <v>831</v>
      </c>
      <c r="G4" s="2">
        <f>(0.357*1000)</f>
        <v>357</v>
      </c>
    </row>
    <row r="5" spans="1:7">
      <c r="A5" s="2">
        <v>3</v>
      </c>
      <c r="B5" s="2">
        <v>2.64</v>
      </c>
      <c r="C5" s="2">
        <v>2.56</v>
      </c>
    </row>
    <row r="7" spans="1:7">
      <c r="E7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 Garcia Marti</dc:creator>
  <cp:lastModifiedBy>Bren Garcia Marti</cp:lastModifiedBy>
  <dcterms:created xsi:type="dcterms:W3CDTF">2024-10-07T15:59:13Z</dcterms:created>
  <dcterms:modified xsi:type="dcterms:W3CDTF">2024-10-14T16:00:49Z</dcterms:modified>
</cp:coreProperties>
</file>